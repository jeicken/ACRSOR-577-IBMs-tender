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L:\Vergabe\Vergaben (geplant)\1002001550 iBMS 3.0\Vergabeakte\Angebotsphase\Unterlage\Final (VMP)\Zuschlagskriterien und Wertung\"/>
    </mc:Choice>
  </mc:AlternateContent>
  <xr:revisionPtr revIDLastSave="0" documentId="13_ncr:1_{BC6AF0C8-F91A-47AE-BDD7-35431E6D4159}" xr6:coauthVersionLast="47" xr6:coauthVersionMax="47" xr10:uidLastSave="{00000000-0000-0000-0000-000000000000}"/>
  <bookViews>
    <workbookView xWindow="5895" yWindow="1695" windowWidth="25005" windowHeight="15075" activeTab="5" xr2:uid="{00000000-000D-0000-FFFF-FFFF00000000}"/>
  </bookViews>
  <sheets>
    <sheet name="Deckblatt" sheetId="1" r:id="rId1"/>
    <sheet name="Profil A" sheetId="2" r:id="rId2"/>
    <sheet name="Profil B" sheetId="4" r:id="rId3"/>
    <sheet name="Profil C" sheetId="5" r:id="rId4"/>
    <sheet name="Profil D" sheetId="6" r:id="rId5"/>
    <sheet name="Profil E" sheetId="7" r:id="rId6"/>
  </sheets>
  <definedNames>
    <definedName name="_xlnm.Print_Area" localSheetId="0">Deckblatt!$B$2:$P$22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5" l="1"/>
  <c r="D13" i="5"/>
  <c r="D14" i="5"/>
  <c r="D15" i="5"/>
  <c r="D15" i="7"/>
  <c r="D14" i="7"/>
  <c r="D13" i="7"/>
  <c r="D12" i="7"/>
  <c r="D15" i="6"/>
  <c r="D14" i="6"/>
  <c r="D13" i="6"/>
  <c r="D12" i="6"/>
  <c r="D15" i="4"/>
  <c r="D14" i="4"/>
  <c r="D13" i="4"/>
  <c r="D12" i="4"/>
  <c r="D15" i="2"/>
  <c r="D14" i="2"/>
  <c r="D13" i="2"/>
  <c r="D12" i="2"/>
  <c r="B5" i="7"/>
  <c r="B5" i="6"/>
  <c r="B5" i="5"/>
  <c r="B5" i="4"/>
  <c r="B5" i="2"/>
  <c r="B3" i="7"/>
  <c r="B3" i="6"/>
  <c r="B3" i="5"/>
  <c r="B3" i="4"/>
  <c r="B3" i="2"/>
  <c r="D17" i="4" l="1"/>
  <c r="F17" i="1" s="1"/>
  <c r="D17" i="2"/>
  <c r="F16" i="1" s="1"/>
  <c r="D17" i="7"/>
  <c r="F20" i="1" s="1"/>
  <c r="D17" i="6"/>
  <c r="F19" i="1" s="1"/>
  <c r="D17" i="5"/>
  <c r="F18" i="1" s="1"/>
  <c r="F22" i="1" l="1"/>
</calcChain>
</file>

<file path=xl/sharedStrings.xml><?xml version="1.0" encoding="utf-8"?>
<sst xmlns="http://schemas.openxmlformats.org/spreadsheetml/2006/main" count="75" uniqueCount="42">
  <si>
    <t>Neuentwicklung iBMS 3.0</t>
  </si>
  <si>
    <t>Summe* aller Wertungspreise:</t>
  </si>
  <si>
    <t>*Summenbildung erfolgt automatisch auf Basis der auf den einzelnen Tabellenblättern getätigten Eingaben.</t>
  </si>
  <si>
    <t>Profil A:</t>
  </si>
  <si>
    <t>Profil B:</t>
  </si>
  <si>
    <t>Profil C:</t>
  </si>
  <si>
    <t>Profil D:</t>
  </si>
  <si>
    <t>Profil E:</t>
  </si>
  <si>
    <t>Preisblätter der Profile A-E</t>
  </si>
  <si>
    <t>Preisblatt Profil A: Software Architekt und Projektmanager</t>
  </si>
  <si>
    <t>Kalkulationsvorgabe:</t>
  </si>
  <si>
    <r>
      <t xml:space="preserve">Satz </t>
    </r>
    <r>
      <rPr>
        <b/>
        <sz val="11"/>
        <color theme="1"/>
        <rFont val="Calibri"/>
        <family val="2"/>
        <scheme val="minor"/>
      </rPr>
      <t>Executive</t>
    </r>
    <r>
      <rPr>
        <sz val="11"/>
        <color theme="1"/>
        <rFont val="Calibri"/>
        <family val="2"/>
        <scheme val="minor"/>
      </rPr>
      <t xml:space="preserve">
Kalkulationsvorgabe: 20 Tage pro Jahr
(Wertungspreis)</t>
    </r>
  </si>
  <si>
    <t>Gesamt
EUR (netto)</t>
  </si>
  <si>
    <r>
      <t xml:space="preserve">Satz </t>
    </r>
    <r>
      <rPr>
        <b/>
        <sz val="11"/>
        <color theme="1"/>
        <rFont val="Calibri"/>
        <family val="2"/>
        <scheme val="minor"/>
      </rPr>
      <t>Senior</t>
    </r>
    <r>
      <rPr>
        <sz val="11"/>
        <color theme="1"/>
        <rFont val="Calibri"/>
        <family val="2"/>
        <scheme val="minor"/>
      </rPr>
      <t xml:space="preserve">
Kalkulationsvorgabe: 40 Tage pro Jahr
(Wertungspreis)</t>
    </r>
  </si>
  <si>
    <r>
      <t xml:space="preserve">Satz </t>
    </r>
    <r>
      <rPr>
        <b/>
        <sz val="11"/>
        <color theme="1"/>
        <rFont val="Calibri"/>
        <family val="2"/>
        <scheme val="minor"/>
      </rPr>
      <t>Professional</t>
    </r>
    <r>
      <rPr>
        <sz val="11"/>
        <color theme="1"/>
        <rFont val="Calibri"/>
        <family val="2"/>
        <scheme val="minor"/>
      </rPr>
      <t xml:space="preserve">
Kalkulationsvorgabe: 100 Tage pro Jahr
(Wertungspreis)</t>
    </r>
  </si>
  <si>
    <r>
      <t xml:space="preserve">Satz </t>
    </r>
    <r>
      <rPr>
        <b/>
        <sz val="11"/>
        <color theme="1"/>
        <rFont val="Calibri"/>
        <family val="2"/>
        <scheme val="minor"/>
      </rPr>
      <t>Junior</t>
    </r>
    <r>
      <rPr>
        <sz val="11"/>
        <color theme="1"/>
        <rFont val="Calibri"/>
        <family val="2"/>
        <scheme val="minor"/>
      </rPr>
      <t xml:space="preserve">
Kalkulationsvorgabe: 40 Tage pro Jahr
(Wertungspreis)</t>
    </r>
  </si>
  <si>
    <t xml:space="preserve">Summe/Wertungspreis Profil A: </t>
  </si>
  <si>
    <t>Dieser Wert wird auf das Deckblatt übertragen</t>
  </si>
  <si>
    <t>Preisblatt Profil B: Software Lead Engineer</t>
  </si>
  <si>
    <t xml:space="preserve">Summe/Wertungspreis Profil B: </t>
  </si>
  <si>
    <t>Preisblatt Profil C: Software Engineer Entwicklung</t>
  </si>
  <si>
    <t xml:space="preserve">Summe/Wertungspreis Profil C: </t>
  </si>
  <si>
    <t>Preisblatt Profil D: Software Engineer Test/QS</t>
  </si>
  <si>
    <t>Gesamtbewertungspreis</t>
  </si>
  <si>
    <t>Name des Bieters/der Bietergemeinschaft:</t>
  </si>
  <si>
    <t>Preisblatt Profil E: Produktmanagement</t>
  </si>
  <si>
    <t xml:space="preserve">Summe/Wertungspreis Profil E: </t>
  </si>
  <si>
    <t xml:space="preserve">Summe/Wertungspreis Profil D: </t>
  </si>
  <si>
    <t>insgesamt 100 Tage pro Jahr; 10 % Executive, 20 % Senior, 50 % Professional, 20 % Junior; Werkstudenten sind in diesem Profil nicht anzubieten.</t>
  </si>
  <si>
    <r>
      <t xml:space="preserve">Satz </t>
    </r>
    <r>
      <rPr>
        <b/>
        <sz val="11"/>
        <color theme="1"/>
        <rFont val="Calibri"/>
        <family val="2"/>
        <scheme val="minor"/>
      </rPr>
      <t>Executive</t>
    </r>
    <r>
      <rPr>
        <sz val="11"/>
        <color theme="1"/>
        <rFont val="Calibri"/>
        <family val="2"/>
        <scheme val="minor"/>
      </rPr>
      <t xml:space="preserve">
Kalkulationsvorgabe: 10 Tage pro Jahr
(Wertungspreis)</t>
    </r>
  </si>
  <si>
    <r>
      <t xml:space="preserve">Satz </t>
    </r>
    <r>
      <rPr>
        <b/>
        <sz val="11"/>
        <color theme="1"/>
        <rFont val="Calibri"/>
        <family val="2"/>
        <scheme val="minor"/>
      </rPr>
      <t>Senior</t>
    </r>
    <r>
      <rPr>
        <sz val="11"/>
        <color theme="1"/>
        <rFont val="Calibri"/>
        <family val="2"/>
        <scheme val="minor"/>
      </rPr>
      <t xml:space="preserve">
Kalkulationsvorgabe: 20 Tage pro Jahr
(Wertungspreis)</t>
    </r>
  </si>
  <si>
    <r>
      <t xml:space="preserve">Satz </t>
    </r>
    <r>
      <rPr>
        <b/>
        <sz val="11"/>
        <color theme="1"/>
        <rFont val="Calibri"/>
        <family val="2"/>
        <scheme val="minor"/>
      </rPr>
      <t>Professional</t>
    </r>
    <r>
      <rPr>
        <sz val="11"/>
        <color theme="1"/>
        <rFont val="Calibri"/>
        <family val="2"/>
        <scheme val="minor"/>
      </rPr>
      <t xml:space="preserve">
Kalkulationsvorgabe: 50 Tage pro Jahr
(Wertungspreis)</t>
    </r>
  </si>
  <si>
    <r>
      <t xml:space="preserve">Satz </t>
    </r>
    <r>
      <rPr>
        <b/>
        <sz val="11"/>
        <color theme="1"/>
        <rFont val="Calibri"/>
        <family val="2"/>
        <scheme val="minor"/>
      </rPr>
      <t>Junior</t>
    </r>
    <r>
      <rPr>
        <sz val="11"/>
        <color theme="1"/>
        <rFont val="Calibri"/>
        <family val="2"/>
        <scheme val="minor"/>
      </rPr>
      <t xml:space="preserve">
Kalkulationsvorgabe: 20 Tage pro Jahr
(Wertungspreis)</t>
    </r>
  </si>
  <si>
    <t>insgesamt 100 Tage pro Jahr; 10 % Executive, 20 % Senior, 50 % Professional, 20 % Junior;
Werkstudenten sind in diesem Profil nicht anzubieten.</t>
  </si>
  <si>
    <t>insgesamt 200 Tage pro Jahr; 10% Executive, 20 % Senior, 50 % Professional, 20 % Junior, Werkstudenten sind in diesem Profil nicht anzubieten.</t>
  </si>
  <si>
    <t>insgesamt 100 Tage pro Jahr; 10% Executive,20 % Senior, 50 % Professional, 20 % Junior;
Werkstudenten sind in diesem Profil nicht anzubieten.</t>
  </si>
  <si>
    <t>insgesamt 100 Tage pro Jahr; 10% Executive, 20 % Senior, 50 % Professional, 20 % Junior;
Werkstudenten sind in diesem Profil nicht anzubieten.</t>
  </si>
  <si>
    <t>Skontoabfrage</t>
  </si>
  <si>
    <t>ZA 4.2/1002001550/LS</t>
  </si>
  <si>
    <r>
      <rPr>
        <b/>
        <sz val="11"/>
        <color rgb="FFFF0000"/>
        <rFont val="Calibri"/>
        <family val="2"/>
        <scheme val="minor"/>
      </rPr>
      <t>Angabe Skonto:</t>
    </r>
    <r>
      <rPr>
        <b/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</si>
  <si>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 xml:space="preserve">Die nachfolgenden Preisblätter sind vom Bieter vollständig für alle Profile (A-E) auszufüllen. Hierbei sind die Preise in Euro, Bruchteile in vollen Cent (zwei Nachkommastellen), ohne Umsatzsteuer, anzugeben. Die Angabe sowohl des Tagessatzes (gelb hinterlegte Felder) ist zwingend vorzunehmen. </t>
    </r>
    <r>
      <rPr>
        <sz val="11"/>
        <color theme="1"/>
        <rFont val="Calibri"/>
        <family val="2"/>
        <scheme val="minor"/>
      </rPr>
      <t xml:space="preserve">Die Multiplikation des Tagessatzes mit der Kalkulationsvorgabe der Sätze Executive, Senior, Professional und Junior in der Spalte D „Gesamt“ erfolgt automatisch.  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</t>
    </r>
    <r>
      <rPr>
        <sz val="11"/>
        <color theme="1"/>
        <rFont val="Calibri"/>
        <family val="2"/>
        <scheme val="minor"/>
      </rPr>
      <t xml:space="preserve"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Die Nichtbeachtung dieser Anforderungen stellt einen zwingenden Ausschlussgrund dar.
</t>
    </r>
    <r>
      <rPr>
        <i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theme="1"/>
        <rFont val="Calibri"/>
        <family val="2"/>
        <scheme val="minor"/>
      </rPr>
      <t xml:space="preserve">Auf diesem </t>
    </r>
    <r>
      <rPr>
        <b/>
        <sz val="11"/>
        <color theme="1"/>
        <rFont val="Calibri"/>
        <family val="2"/>
        <scheme val="minor"/>
      </rPr>
      <t>Deckblatt</t>
    </r>
    <r>
      <rPr>
        <sz val="11"/>
        <color theme="1"/>
        <rFont val="Calibri"/>
        <family val="2"/>
        <scheme val="minor"/>
      </rPr>
      <t xml:space="preserve"> erfolgt der Übertrag der fünf Wertungspreise der Profil-Preisblätter A-E und deren Addition zum </t>
    </r>
    <r>
      <rPr>
        <b/>
        <sz val="11"/>
        <color theme="1"/>
        <rFont val="Calibri"/>
        <family val="2"/>
        <scheme val="minor"/>
      </rPr>
      <t>Gesamtwertungspreis</t>
    </r>
    <r>
      <rPr>
        <sz val="11"/>
        <color theme="1"/>
        <rFont val="Calibri"/>
        <family val="2"/>
        <scheme val="minor"/>
      </rPr>
      <t xml:space="preserve">.                                               Auf dem Deckblatt ist darüber hinaus die </t>
    </r>
    <r>
      <rPr>
        <b/>
        <sz val="11"/>
        <color theme="1"/>
        <rFont val="Calibri"/>
        <family val="2"/>
        <scheme val="minor"/>
      </rPr>
      <t>Skontoangabe</t>
    </r>
    <r>
      <rPr>
        <sz val="11"/>
        <color theme="1"/>
        <rFont val="Calibri"/>
        <family val="2"/>
        <scheme val="minor"/>
      </rPr>
      <t xml:space="preserve"> zu tätigen.
Die Leistung umfasst sämtliche Tätigkeitbereiche wie in der Leistungsbeschreibung sowie den zugehörigen Anlagen beschrieben. Die anzugebenden Tagessätze beinhalten sämtliche Auslagen und Nebenkosten des Auftragnehmers (insb. Fracht-, Versand-, Druck-, Büro-, Versicherungs-, Post-, Fernsprech-, Reise- und Aufenthaltskosten sowie alle weiteren nicht explizit aufgeführten, jedoch mit der Leistungserbringung im Zusammenhang stehenden Kosten des Auftragnehmers).</t>
    </r>
  </si>
  <si>
    <t>8-Stunden-Tagessatz EUR (netto) inkl. Reisekosten, Nebenkosten, Materialkosten und Reisezeiten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</si>
</sst>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u val="double"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1" fillId="3" borderId="12" xfId="0" applyFont="1" applyFill="1" applyBorder="1" applyAlignment="1">
      <alignment wrapText="1"/>
    </xf>
    <xf numFmtId="0" fontId="1" fillId="0" borderId="19" xfId="0" applyFont="1" applyBorder="1"/>
    <xf numFmtId="0" fontId="1" fillId="3" borderId="13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3" fillId="0" borderId="11" xfId="0" applyFont="1" applyBorder="1" applyAlignment="1">
      <alignment wrapText="1"/>
    </xf>
    <xf numFmtId="0" fontId="6" fillId="0" borderId="0" xfId="0" applyFont="1"/>
    <xf numFmtId="0" fontId="5" fillId="0" borderId="5" xfId="0" applyFont="1" applyBorder="1"/>
    <xf numFmtId="0" fontId="7" fillId="0" borderId="0" xfId="0" applyFont="1" applyBorder="1"/>
    <xf numFmtId="0" fontId="5" fillId="0" borderId="9" xfId="0" applyFont="1" applyBorder="1"/>
    <xf numFmtId="0" fontId="5" fillId="0" borderId="0" xfId="0" applyFont="1" applyBorder="1" applyAlignment="1"/>
    <xf numFmtId="0" fontId="8" fillId="0" borderId="8" xfId="0" applyFont="1" applyBorder="1"/>
    <xf numFmtId="0" fontId="1" fillId="0" borderId="9" xfId="0" applyFont="1" applyFill="1" applyBorder="1" applyAlignment="1">
      <alignment horizontal="left" wrapText="1"/>
    </xf>
    <xf numFmtId="0" fontId="1" fillId="0" borderId="10" xfId="0" applyFont="1" applyFill="1" applyBorder="1" applyAlignment="1">
      <alignment horizontal="left" wrapText="1"/>
    </xf>
    <xf numFmtId="0" fontId="1" fillId="0" borderId="11" xfId="0" applyFont="1" applyBorder="1"/>
    <xf numFmtId="9" fontId="0" fillId="4" borderId="0" xfId="0" applyNumberFormat="1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3" borderId="5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5" fillId="4" borderId="5" xfId="0" applyFont="1" applyFill="1" applyBorder="1" applyAlignment="1" applyProtection="1">
      <alignment horizontal="left"/>
      <protection locked="0"/>
    </xf>
    <xf numFmtId="0" fontId="5" fillId="4" borderId="0" xfId="0" applyFont="1" applyFill="1" applyBorder="1" applyAlignment="1" applyProtection="1">
      <alignment horizontal="left"/>
      <protection locked="0"/>
    </xf>
    <xf numFmtId="0" fontId="5" fillId="4" borderId="6" xfId="0" applyFont="1" applyFill="1" applyBorder="1" applyAlignment="1" applyProtection="1">
      <alignment horizontal="left"/>
      <protection locked="0"/>
    </xf>
    <xf numFmtId="0" fontId="1" fillId="0" borderId="5" xfId="0" applyFont="1" applyBorder="1" applyAlignment="1"/>
    <xf numFmtId="0" fontId="1" fillId="0" borderId="0" xfId="0" applyFont="1" applyBorder="1" applyAlignment="1"/>
    <xf numFmtId="0" fontId="1" fillId="0" borderId="17" xfId="0" applyFont="1" applyFill="1" applyBorder="1" applyAlignment="1">
      <alignment horizontal="left" wrapText="1"/>
    </xf>
    <xf numFmtId="0" fontId="1" fillId="0" borderId="18" xfId="0" applyFont="1" applyFill="1" applyBorder="1" applyAlignment="1">
      <alignment horizontal="left" wrapText="1"/>
    </xf>
    <xf numFmtId="0" fontId="1" fillId="0" borderId="5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7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22"/>
  <sheetViews>
    <sheetView showGridLines="0" topLeftCell="A4" workbookViewId="0">
      <selection activeCell="B9" sqref="B9:P9"/>
    </sheetView>
  </sheetViews>
  <sheetFormatPr baseColWidth="10" defaultColWidth="9.140625" defaultRowHeight="15" x14ac:dyDescent="0.25"/>
  <cols>
    <col min="1" max="1" width="2.85546875" customWidth="1"/>
  </cols>
  <sheetData>
    <row r="1" spans="2:16" ht="7.5" customHeight="1" thickBot="1" x14ac:dyDescent="0.3"/>
    <row r="2" spans="2:16" ht="19.5" thickBot="1" x14ac:dyDescent="0.35">
      <c r="B2" s="25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7"/>
    </row>
    <row r="3" spans="2:16" ht="19.5" thickBot="1" x14ac:dyDescent="0.35">
      <c r="B3" s="25" t="s">
        <v>38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7"/>
    </row>
    <row r="4" spans="2:16" ht="19.5" thickBot="1" x14ac:dyDescent="0.35">
      <c r="B4" s="28" t="s">
        <v>8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30"/>
    </row>
    <row r="5" spans="2:16" ht="6.95" customHeight="1" thickBot="1" x14ac:dyDescent="0.3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/>
    </row>
    <row r="6" spans="2:16" ht="231.75" customHeight="1" x14ac:dyDescent="0.25">
      <c r="B6" s="22" t="s">
        <v>40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4"/>
    </row>
    <row r="7" spans="2:16" ht="6.75" customHeight="1" x14ac:dyDescent="0.25"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3"/>
    </row>
    <row r="8" spans="2:16" ht="18.75" x14ac:dyDescent="0.3">
      <c r="B8" s="35" t="s">
        <v>24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7"/>
    </row>
    <row r="9" spans="2:16" ht="18.75" x14ac:dyDescent="0.3"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3"/>
    </row>
    <row r="10" spans="2:16" ht="6" customHeight="1" x14ac:dyDescent="0.25"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3"/>
    </row>
    <row r="11" spans="2:16" ht="18" customHeight="1" x14ac:dyDescent="0.25">
      <c r="B11" s="44" t="s">
        <v>39</v>
      </c>
      <c r="C11" s="45"/>
      <c r="D11" s="2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3"/>
    </row>
    <row r="12" spans="2:16" ht="6.6" customHeight="1" x14ac:dyDescent="0.25"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3"/>
    </row>
    <row r="13" spans="2:16" ht="18.75" x14ac:dyDescent="0.3">
      <c r="B13" s="35" t="s">
        <v>1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7"/>
    </row>
    <row r="14" spans="2:16" x14ac:dyDescent="0.25">
      <c r="B14" s="38" t="s">
        <v>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40"/>
    </row>
    <row r="15" spans="2:16" ht="6.95" customHeight="1" x14ac:dyDescent="0.25"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</row>
    <row r="16" spans="2:16" ht="18.75" x14ac:dyDescent="0.3">
      <c r="B16" s="12" t="s">
        <v>3</v>
      </c>
      <c r="C16" s="13"/>
      <c r="D16" s="15"/>
      <c r="E16" s="15"/>
      <c r="F16" s="33">
        <f>'Profil A'!D17</f>
        <v>0</v>
      </c>
      <c r="G16" s="33"/>
      <c r="H16" s="33"/>
      <c r="I16" s="33"/>
      <c r="J16" s="33"/>
      <c r="K16" s="33"/>
      <c r="L16" s="33"/>
      <c r="M16" s="33"/>
      <c r="N16" s="33"/>
      <c r="O16" s="33"/>
      <c r="P16" s="34"/>
    </row>
    <row r="17" spans="2:16" ht="18.75" x14ac:dyDescent="0.3">
      <c r="B17" s="12" t="s">
        <v>4</v>
      </c>
      <c r="C17" s="13"/>
      <c r="D17" s="15"/>
      <c r="E17" s="15"/>
      <c r="F17" s="33">
        <f>'Profil B'!D17</f>
        <v>0</v>
      </c>
      <c r="G17" s="33"/>
      <c r="H17" s="33"/>
      <c r="I17" s="33"/>
      <c r="J17" s="33"/>
      <c r="K17" s="33"/>
      <c r="L17" s="33"/>
      <c r="M17" s="33"/>
      <c r="N17" s="33"/>
      <c r="O17" s="33"/>
      <c r="P17" s="34"/>
    </row>
    <row r="18" spans="2:16" ht="18.75" x14ac:dyDescent="0.3">
      <c r="B18" s="12" t="s">
        <v>5</v>
      </c>
      <c r="C18" s="13"/>
      <c r="D18" s="15"/>
      <c r="E18" s="15"/>
      <c r="F18" s="33">
        <f>'Profil C'!D17</f>
        <v>0</v>
      </c>
      <c r="G18" s="33"/>
      <c r="H18" s="33"/>
      <c r="I18" s="33"/>
      <c r="J18" s="33"/>
      <c r="K18" s="33"/>
      <c r="L18" s="33"/>
      <c r="M18" s="33"/>
      <c r="N18" s="33"/>
      <c r="O18" s="33"/>
      <c r="P18" s="34"/>
    </row>
    <row r="19" spans="2:16" ht="18.75" x14ac:dyDescent="0.3">
      <c r="B19" s="12" t="s">
        <v>6</v>
      </c>
      <c r="C19" s="13"/>
      <c r="D19" s="2"/>
      <c r="E19" s="15"/>
      <c r="F19" s="33">
        <f>'Profil D'!D17</f>
        <v>0</v>
      </c>
      <c r="G19" s="33"/>
      <c r="H19" s="33"/>
      <c r="I19" s="33"/>
      <c r="J19" s="33"/>
      <c r="K19" s="33"/>
      <c r="L19" s="33"/>
      <c r="M19" s="33"/>
      <c r="N19" s="33"/>
      <c r="O19" s="33"/>
      <c r="P19" s="34"/>
    </row>
    <row r="20" spans="2:16" ht="18.75" x14ac:dyDescent="0.3">
      <c r="B20" s="12" t="s">
        <v>7</v>
      </c>
      <c r="C20" s="13"/>
      <c r="D20" s="2"/>
      <c r="E20" s="15"/>
      <c r="F20" s="33">
        <f>'Profil E'!D17</f>
        <v>0</v>
      </c>
      <c r="G20" s="33"/>
      <c r="H20" s="33"/>
      <c r="I20" s="33"/>
      <c r="J20" s="33"/>
      <c r="K20" s="33"/>
      <c r="L20" s="33"/>
      <c r="M20" s="33"/>
      <c r="N20" s="33"/>
      <c r="O20" s="33"/>
      <c r="P20" s="34"/>
    </row>
    <row r="21" spans="2:16" x14ac:dyDescent="0.25"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3"/>
    </row>
    <row r="22" spans="2:16" ht="19.5" thickBot="1" x14ac:dyDescent="0.35">
      <c r="B22" s="14" t="s">
        <v>23</v>
      </c>
      <c r="C22" s="5"/>
      <c r="D22" s="5"/>
      <c r="E22" s="5"/>
      <c r="F22" s="31">
        <f>F16+F17+F18+F19+F20</f>
        <v>0</v>
      </c>
      <c r="G22" s="31"/>
      <c r="H22" s="31"/>
      <c r="I22" s="31"/>
      <c r="J22" s="31"/>
      <c r="K22" s="31"/>
      <c r="L22" s="31"/>
      <c r="M22" s="31"/>
      <c r="N22" s="31"/>
      <c r="O22" s="31"/>
      <c r="P22" s="32"/>
    </row>
  </sheetData>
  <sheetProtection algorithmName="SHA-512" hashValue="0OG2z4SLtwt+jEiYUjNG6VgGrRGXsZRkDUSoMt0B/P0vbCD9ifSodRvijgNE7zdmAzCzQbkqY5p3Q+eV/4TE3w==" saltValue="UROATUEyiQIfg8p6NJa7jg==" spinCount="100000" sheet="1" objects="1" scenarios="1"/>
  <mergeCells count="15">
    <mergeCell ref="B6:P6"/>
    <mergeCell ref="B2:P2"/>
    <mergeCell ref="B3:P3"/>
    <mergeCell ref="B4:P4"/>
    <mergeCell ref="F22:P22"/>
    <mergeCell ref="F20:P20"/>
    <mergeCell ref="F19:P19"/>
    <mergeCell ref="F18:P18"/>
    <mergeCell ref="B13:P13"/>
    <mergeCell ref="B14:P14"/>
    <mergeCell ref="F17:P17"/>
    <mergeCell ref="F16:P16"/>
    <mergeCell ref="B8:P8"/>
    <mergeCell ref="B9:P9"/>
    <mergeCell ref="B11:C11"/>
  </mergeCells>
  <pageMargins left="0.7" right="0.7" top="0.75" bottom="0.75" header="0.3" footer="0.3"/>
  <pageSetup paperSize="9"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CFAD-BFEA-4776-BBA7-1D3A469E7B03}">
  <sheetPr>
    <pageSetUpPr fitToPage="1"/>
  </sheetPr>
  <dimension ref="B1:F19"/>
  <sheetViews>
    <sheetView showGridLines="0" workbookViewId="0">
      <selection activeCell="C12" sqref="C12:C13"/>
    </sheetView>
  </sheetViews>
  <sheetFormatPr baseColWidth="10" defaultRowHeight="15" x14ac:dyDescent="0.25"/>
  <cols>
    <col min="2" max="2" width="36.7109375" customWidth="1"/>
    <col min="3" max="3" width="64.85546875" customWidth="1"/>
    <col min="4" max="4" width="20.85546875" customWidth="1"/>
  </cols>
  <sheetData>
    <row r="1" spans="2:6" ht="15.75" thickBot="1" x14ac:dyDescent="0.3"/>
    <row r="2" spans="2:6" ht="19.5" thickBot="1" x14ac:dyDescent="0.35">
      <c r="B2" s="25" t="s">
        <v>0</v>
      </c>
      <c r="C2" s="26"/>
      <c r="D2" s="27"/>
    </row>
    <row r="3" spans="2:6" ht="19.5" thickBot="1" x14ac:dyDescent="0.35">
      <c r="B3" s="25" t="str">
        <f>Deckblatt!B3</f>
        <v>ZA 4.2/1002001550/LS</v>
      </c>
      <c r="C3" s="26"/>
      <c r="D3" s="27"/>
    </row>
    <row r="4" spans="2:6" ht="19.5" thickBot="1" x14ac:dyDescent="0.35">
      <c r="B4" s="28" t="s">
        <v>9</v>
      </c>
      <c r="C4" s="29"/>
      <c r="D4" s="30"/>
    </row>
    <row r="5" spans="2:6" ht="19.5" thickBot="1" x14ac:dyDescent="0.35">
      <c r="B5" s="28">
        <f>Deckblatt!B9</f>
        <v>0</v>
      </c>
      <c r="C5" s="29"/>
      <c r="D5" s="30"/>
    </row>
    <row r="6" spans="2:6" x14ac:dyDescent="0.25">
      <c r="B6" s="1"/>
      <c r="C6" s="2"/>
      <c r="D6" s="3"/>
    </row>
    <row r="7" spans="2:6" x14ac:dyDescent="0.25">
      <c r="B7" s="48" t="s">
        <v>10</v>
      </c>
      <c r="C7" s="49"/>
      <c r="D7" s="50"/>
    </row>
    <row r="8" spans="2:6" ht="15" customHeight="1" x14ac:dyDescent="0.25">
      <c r="B8" s="51" t="s">
        <v>28</v>
      </c>
      <c r="C8" s="52"/>
      <c r="D8" s="53"/>
    </row>
    <row r="9" spans="2:6" x14ac:dyDescent="0.25">
      <c r="B9" s="51"/>
      <c r="C9" s="52"/>
      <c r="D9" s="53"/>
    </row>
    <row r="10" spans="2:6" x14ac:dyDescent="0.25">
      <c r="B10" s="1"/>
      <c r="C10" s="2"/>
      <c r="D10" s="3"/>
    </row>
    <row r="11" spans="2:6" ht="36" customHeight="1" x14ac:dyDescent="0.25">
      <c r="B11" s="1"/>
      <c r="C11" s="6" t="s">
        <v>41</v>
      </c>
      <c r="D11" s="8" t="s">
        <v>12</v>
      </c>
    </row>
    <row r="12" spans="2:6" ht="45" x14ac:dyDescent="0.25">
      <c r="B12" s="9" t="s">
        <v>29</v>
      </c>
      <c r="C12" s="21"/>
      <c r="D12" s="16">
        <f>(C12*10)</f>
        <v>0</v>
      </c>
      <c r="F12" s="11"/>
    </row>
    <row r="13" spans="2:6" ht="45" x14ac:dyDescent="0.25">
      <c r="B13" s="9" t="s">
        <v>30</v>
      </c>
      <c r="C13" s="21"/>
      <c r="D13" s="16">
        <f>(C13*20)</f>
        <v>0</v>
      </c>
    </row>
    <row r="14" spans="2:6" ht="45" x14ac:dyDescent="0.25">
      <c r="B14" s="9" t="s">
        <v>31</v>
      </c>
      <c r="C14" s="21"/>
      <c r="D14" s="16">
        <f>(C14*50)</f>
        <v>0</v>
      </c>
    </row>
    <row r="15" spans="2:6" ht="45" x14ac:dyDescent="0.25">
      <c r="B15" s="9" t="s">
        <v>32</v>
      </c>
      <c r="C15" s="21"/>
      <c r="D15" s="16">
        <f>(C15*20)</f>
        <v>0</v>
      </c>
    </row>
    <row r="16" spans="2:6" ht="15.75" thickBot="1" x14ac:dyDescent="0.3">
      <c r="B16" s="1"/>
      <c r="C16" s="2"/>
      <c r="D16" s="3"/>
    </row>
    <row r="17" spans="2:4" ht="15.75" thickBot="1" x14ac:dyDescent="0.3">
      <c r="B17" s="46" t="s">
        <v>16</v>
      </c>
      <c r="C17" s="47"/>
      <c r="D17" s="7">
        <f>D12+D13+D14+D15</f>
        <v>0</v>
      </c>
    </row>
    <row r="18" spans="2:4" ht="15.75" thickBot="1" x14ac:dyDescent="0.3">
      <c r="B18" s="17"/>
      <c r="C18" s="18"/>
      <c r="D18" s="19"/>
    </row>
    <row r="19" spans="2:4" ht="24" thickBot="1" x14ac:dyDescent="0.3">
      <c r="B19" s="4"/>
      <c r="C19" s="5"/>
      <c r="D19" s="10" t="s">
        <v>17</v>
      </c>
    </row>
  </sheetData>
  <sheetProtection algorithmName="SHA-512" hashValue="pqpdJ7pMoCxsSEB0TWQ4daF8lfGrln9oiGw8qHl73XRr2z7JAvIySvWu6+bTkcVQgqg4PZNsk8a6/g87+tZp/w==" saltValue="fWYhvOGYDvE1ABy8aY5e1A==" spinCount="100000" sheet="1" objects="1" scenarios="1"/>
  <mergeCells count="7">
    <mergeCell ref="B17:C17"/>
    <mergeCell ref="B7:D7"/>
    <mergeCell ref="B8:D9"/>
    <mergeCell ref="B3:D3"/>
    <mergeCell ref="B2:D2"/>
    <mergeCell ref="B4:D4"/>
    <mergeCell ref="B5:D5"/>
  </mergeCells>
  <pageMargins left="0.7" right="0.7" top="0.78740157499999996" bottom="0.78740157499999996" header="0.3" footer="0.3"/>
  <pageSetup paperSize="9" scale="9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4A159-4084-4B8A-81ED-1C8FCAC5F3E1}">
  <sheetPr>
    <pageSetUpPr fitToPage="1"/>
  </sheetPr>
  <dimension ref="B1:F18"/>
  <sheetViews>
    <sheetView showGridLines="0" workbookViewId="0">
      <selection activeCell="C13" sqref="C13"/>
    </sheetView>
  </sheetViews>
  <sheetFormatPr baseColWidth="10" defaultRowHeight="15" x14ac:dyDescent="0.25"/>
  <cols>
    <col min="2" max="2" width="36.7109375" customWidth="1"/>
    <col min="3" max="3" width="64.85546875" customWidth="1"/>
    <col min="4" max="4" width="20.85546875" customWidth="1"/>
  </cols>
  <sheetData>
    <row r="1" spans="2:6" ht="15.75" thickBot="1" x14ac:dyDescent="0.3"/>
    <row r="2" spans="2:6" ht="19.5" thickBot="1" x14ac:dyDescent="0.35">
      <c r="B2" s="25" t="s">
        <v>0</v>
      </c>
      <c r="C2" s="26"/>
      <c r="D2" s="27"/>
    </row>
    <row r="3" spans="2:6" ht="19.5" thickBot="1" x14ac:dyDescent="0.35">
      <c r="B3" s="25" t="str">
        <f>Deckblatt!B3</f>
        <v>ZA 4.2/1002001550/LS</v>
      </c>
      <c r="C3" s="26"/>
      <c r="D3" s="27"/>
    </row>
    <row r="4" spans="2:6" ht="19.5" thickBot="1" x14ac:dyDescent="0.35">
      <c r="B4" s="28" t="s">
        <v>18</v>
      </c>
      <c r="C4" s="29"/>
      <c r="D4" s="30"/>
    </row>
    <row r="5" spans="2:6" ht="19.5" thickBot="1" x14ac:dyDescent="0.35">
      <c r="B5" s="28">
        <f>Deckblatt!B9</f>
        <v>0</v>
      </c>
      <c r="C5" s="29"/>
      <c r="D5" s="30"/>
    </row>
    <row r="6" spans="2:6" x14ac:dyDescent="0.25">
      <c r="B6" s="1"/>
      <c r="C6" s="2"/>
      <c r="D6" s="3"/>
    </row>
    <row r="7" spans="2:6" x14ac:dyDescent="0.25">
      <c r="B7" s="48" t="s">
        <v>10</v>
      </c>
      <c r="C7" s="49"/>
      <c r="D7" s="50"/>
    </row>
    <row r="8" spans="2:6" ht="15" customHeight="1" x14ac:dyDescent="0.25">
      <c r="B8" s="51" t="s">
        <v>33</v>
      </c>
      <c r="C8" s="52"/>
      <c r="D8" s="53"/>
    </row>
    <row r="9" spans="2:6" x14ac:dyDescent="0.25">
      <c r="B9" s="51"/>
      <c r="C9" s="52"/>
      <c r="D9" s="53"/>
    </row>
    <row r="10" spans="2:6" x14ac:dyDescent="0.25">
      <c r="B10" s="1"/>
      <c r="C10" s="2"/>
      <c r="D10" s="3"/>
    </row>
    <row r="11" spans="2:6" ht="36" customHeight="1" x14ac:dyDescent="0.25">
      <c r="B11" s="1"/>
      <c r="C11" s="6" t="s">
        <v>41</v>
      </c>
      <c r="D11" s="8" t="s">
        <v>12</v>
      </c>
    </row>
    <row r="12" spans="2:6" ht="45" x14ac:dyDescent="0.25">
      <c r="B12" s="9" t="s">
        <v>29</v>
      </c>
      <c r="C12" s="21"/>
      <c r="D12" s="16">
        <f>(C12*10)</f>
        <v>0</v>
      </c>
      <c r="F12" s="11"/>
    </row>
    <row r="13" spans="2:6" ht="45" x14ac:dyDescent="0.25">
      <c r="B13" s="9" t="s">
        <v>30</v>
      </c>
      <c r="C13" s="21"/>
      <c r="D13" s="16">
        <f>(C13*20)</f>
        <v>0</v>
      </c>
    </row>
    <row r="14" spans="2:6" ht="45" x14ac:dyDescent="0.25">
      <c r="B14" s="9" t="s">
        <v>31</v>
      </c>
      <c r="C14" s="21"/>
      <c r="D14" s="16">
        <f>(C14*50)</f>
        <v>0</v>
      </c>
    </row>
    <row r="15" spans="2:6" ht="45" x14ac:dyDescent="0.25">
      <c r="B15" s="9" t="s">
        <v>32</v>
      </c>
      <c r="C15" s="21"/>
      <c r="D15" s="16">
        <f>(C15*20)</f>
        <v>0</v>
      </c>
    </row>
    <row r="16" spans="2:6" ht="15.75" thickBot="1" x14ac:dyDescent="0.3">
      <c r="B16" s="1"/>
      <c r="C16" s="2"/>
      <c r="D16" s="3"/>
    </row>
    <row r="17" spans="2:4" ht="15.75" thickBot="1" x14ac:dyDescent="0.3">
      <c r="B17" s="46" t="s">
        <v>19</v>
      </c>
      <c r="C17" s="47"/>
      <c r="D17" s="7">
        <f>D12+D13+D14+D15</f>
        <v>0</v>
      </c>
    </row>
    <row r="18" spans="2:4" ht="24" thickBot="1" x14ac:dyDescent="0.3">
      <c r="B18" s="4"/>
      <c r="C18" s="5"/>
      <c r="D18" s="10" t="s">
        <v>17</v>
      </c>
    </row>
  </sheetData>
  <sheetProtection algorithmName="SHA-512" hashValue="pNRzvDKwKIENj5XNnWpT7B4zP0kEGyHw1McWWy/xyGYeHu13yG7D8uvFW3d70lBoAS3E7yMNHjr8ml2LMVDBZg==" saltValue="noRWCAynxOtswzQqmN0v+g==" spinCount="100000" sheet="1" objects="1" scenarios="1"/>
  <mergeCells count="7">
    <mergeCell ref="B17:C17"/>
    <mergeCell ref="B5:D5"/>
    <mergeCell ref="B2:D2"/>
    <mergeCell ref="B3:D3"/>
    <mergeCell ref="B4:D4"/>
    <mergeCell ref="B7:D7"/>
    <mergeCell ref="B8:D9"/>
  </mergeCells>
  <pageMargins left="0.7" right="0.7" top="0.78740157499999996" bottom="0.78740157499999996" header="0.3" footer="0.3"/>
  <pageSetup paperSize="9" scale="9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EAE7-24A0-4DC7-BE85-C9E36B526157}">
  <sheetPr>
    <pageSetUpPr fitToPage="1"/>
  </sheetPr>
  <dimension ref="B1:F18"/>
  <sheetViews>
    <sheetView showGridLines="0" workbookViewId="0">
      <selection activeCell="C14" sqref="C14"/>
    </sheetView>
  </sheetViews>
  <sheetFormatPr baseColWidth="10" defaultRowHeight="15" x14ac:dyDescent="0.25"/>
  <cols>
    <col min="2" max="2" width="36.7109375" customWidth="1"/>
    <col min="3" max="3" width="64.85546875" customWidth="1"/>
    <col min="4" max="4" width="20.85546875" customWidth="1"/>
  </cols>
  <sheetData>
    <row r="1" spans="2:6" ht="15.75" thickBot="1" x14ac:dyDescent="0.3"/>
    <row r="2" spans="2:6" ht="19.5" thickBot="1" x14ac:dyDescent="0.35">
      <c r="B2" s="25" t="s">
        <v>0</v>
      </c>
      <c r="C2" s="26"/>
      <c r="D2" s="27"/>
    </row>
    <row r="3" spans="2:6" ht="19.5" thickBot="1" x14ac:dyDescent="0.35">
      <c r="B3" s="25" t="str">
        <f>Deckblatt!B3</f>
        <v>ZA 4.2/1002001550/LS</v>
      </c>
      <c r="C3" s="26"/>
      <c r="D3" s="27"/>
    </row>
    <row r="4" spans="2:6" ht="19.5" thickBot="1" x14ac:dyDescent="0.35">
      <c r="B4" s="28" t="s">
        <v>20</v>
      </c>
      <c r="C4" s="29"/>
      <c r="D4" s="30"/>
    </row>
    <row r="5" spans="2:6" ht="19.5" thickBot="1" x14ac:dyDescent="0.35">
      <c r="B5" s="28">
        <f>Deckblatt!B9</f>
        <v>0</v>
      </c>
      <c r="C5" s="29"/>
      <c r="D5" s="30"/>
    </row>
    <row r="6" spans="2:6" x14ac:dyDescent="0.25">
      <c r="B6" s="1"/>
      <c r="C6" s="2"/>
      <c r="D6" s="3"/>
    </row>
    <row r="7" spans="2:6" x14ac:dyDescent="0.25">
      <c r="B7" s="48" t="s">
        <v>10</v>
      </c>
      <c r="C7" s="49"/>
      <c r="D7" s="50"/>
    </row>
    <row r="8" spans="2:6" ht="15" customHeight="1" x14ac:dyDescent="0.25">
      <c r="B8" s="51" t="s">
        <v>34</v>
      </c>
      <c r="C8" s="52"/>
      <c r="D8" s="53"/>
    </row>
    <row r="9" spans="2:6" x14ac:dyDescent="0.25">
      <c r="B9" s="51"/>
      <c r="C9" s="52"/>
      <c r="D9" s="53"/>
    </row>
    <row r="10" spans="2:6" x14ac:dyDescent="0.25">
      <c r="B10" s="1"/>
      <c r="C10" s="2"/>
      <c r="D10" s="3"/>
    </row>
    <row r="11" spans="2:6" ht="36" customHeight="1" x14ac:dyDescent="0.25">
      <c r="B11" s="1"/>
      <c r="C11" s="6" t="s">
        <v>41</v>
      </c>
      <c r="D11" s="8" t="s">
        <v>12</v>
      </c>
    </row>
    <row r="12" spans="2:6" ht="45" x14ac:dyDescent="0.25">
      <c r="B12" s="9" t="s">
        <v>11</v>
      </c>
      <c r="C12" s="21"/>
      <c r="D12" s="16">
        <f>(C12*20)</f>
        <v>0</v>
      </c>
      <c r="F12" s="11"/>
    </row>
    <row r="13" spans="2:6" ht="45" x14ac:dyDescent="0.25">
      <c r="B13" s="9" t="s">
        <v>13</v>
      </c>
      <c r="C13" s="21"/>
      <c r="D13" s="16">
        <f>(C13*40)</f>
        <v>0</v>
      </c>
    </row>
    <row r="14" spans="2:6" ht="45" x14ac:dyDescent="0.25">
      <c r="B14" s="9" t="s">
        <v>14</v>
      </c>
      <c r="C14" s="21"/>
      <c r="D14" s="16">
        <f>(C14*100)</f>
        <v>0</v>
      </c>
    </row>
    <row r="15" spans="2:6" ht="45" x14ac:dyDescent="0.25">
      <c r="B15" s="9" t="s">
        <v>15</v>
      </c>
      <c r="C15" s="21"/>
      <c r="D15" s="16">
        <f>(C15*40)</f>
        <v>0</v>
      </c>
    </row>
    <row r="16" spans="2:6" ht="15.75" thickBot="1" x14ac:dyDescent="0.3">
      <c r="B16" s="1"/>
      <c r="C16" s="2"/>
      <c r="D16" s="3"/>
    </row>
    <row r="17" spans="2:4" ht="15.75" thickBot="1" x14ac:dyDescent="0.3">
      <c r="B17" s="46" t="s">
        <v>21</v>
      </c>
      <c r="C17" s="47"/>
      <c r="D17" s="7">
        <f>D12+D13+D14+D15</f>
        <v>0</v>
      </c>
    </row>
    <row r="18" spans="2:4" ht="24" thickBot="1" x14ac:dyDescent="0.3">
      <c r="B18" s="4"/>
      <c r="C18" s="5"/>
      <c r="D18" s="10" t="s">
        <v>17</v>
      </c>
    </row>
  </sheetData>
  <sheetProtection algorithmName="SHA-512" hashValue="rU7RkgXIyFho2/z8McKGaCDzyJ1QnAzBVCm+3mJcpzn7UBHnNvqg4pVvVB2TLIR2OR//g3yqYS9vxGPkqasnNA==" saltValue="rZVrIiLM4MQ0C1NkBZP+nA==" spinCount="100000" sheet="1" objects="1" scenarios="1"/>
  <mergeCells count="7">
    <mergeCell ref="B17:C17"/>
    <mergeCell ref="B5:D5"/>
    <mergeCell ref="B2:D2"/>
    <mergeCell ref="B3:D3"/>
    <mergeCell ref="B4:D4"/>
    <mergeCell ref="B7:D7"/>
    <mergeCell ref="B8:D9"/>
  </mergeCells>
  <pageMargins left="0.7" right="0.7" top="0.78740157499999996" bottom="0.78740157499999996" header="0.3" footer="0.3"/>
  <pageSetup paperSize="9" scale="9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9F16-F92F-4741-A033-E095519F6546}">
  <sheetPr>
    <pageSetUpPr fitToPage="1"/>
  </sheetPr>
  <dimension ref="B1:F18"/>
  <sheetViews>
    <sheetView showGridLines="0" workbookViewId="0">
      <selection activeCell="C15" sqref="C15"/>
    </sheetView>
  </sheetViews>
  <sheetFormatPr baseColWidth="10" defaultRowHeight="15" x14ac:dyDescent="0.25"/>
  <cols>
    <col min="2" max="2" width="36.7109375" customWidth="1"/>
    <col min="3" max="3" width="64.85546875" customWidth="1"/>
    <col min="4" max="4" width="20.85546875" customWidth="1"/>
  </cols>
  <sheetData>
    <row r="1" spans="2:6" ht="15.75" thickBot="1" x14ac:dyDescent="0.3"/>
    <row r="2" spans="2:6" ht="19.5" thickBot="1" x14ac:dyDescent="0.35">
      <c r="B2" s="25" t="s">
        <v>0</v>
      </c>
      <c r="C2" s="26"/>
      <c r="D2" s="27"/>
    </row>
    <row r="3" spans="2:6" ht="19.5" thickBot="1" x14ac:dyDescent="0.35">
      <c r="B3" s="25" t="str">
        <f>Deckblatt!B3</f>
        <v>ZA 4.2/1002001550/LS</v>
      </c>
      <c r="C3" s="26"/>
      <c r="D3" s="27"/>
    </row>
    <row r="4" spans="2:6" ht="19.5" thickBot="1" x14ac:dyDescent="0.35">
      <c r="B4" s="28" t="s">
        <v>22</v>
      </c>
      <c r="C4" s="29"/>
      <c r="D4" s="30"/>
    </row>
    <row r="5" spans="2:6" ht="19.5" thickBot="1" x14ac:dyDescent="0.35">
      <c r="B5" s="28">
        <f>Deckblatt!B9</f>
        <v>0</v>
      </c>
      <c r="C5" s="29"/>
      <c r="D5" s="30"/>
    </row>
    <row r="6" spans="2:6" x14ac:dyDescent="0.25">
      <c r="B6" s="1"/>
      <c r="C6" s="2"/>
      <c r="D6" s="3"/>
    </row>
    <row r="7" spans="2:6" x14ac:dyDescent="0.25">
      <c r="B7" s="48" t="s">
        <v>10</v>
      </c>
      <c r="C7" s="49"/>
      <c r="D7" s="50"/>
    </row>
    <row r="8" spans="2:6" ht="15" customHeight="1" x14ac:dyDescent="0.25">
      <c r="B8" s="51" t="s">
        <v>35</v>
      </c>
      <c r="C8" s="52"/>
      <c r="D8" s="53"/>
    </row>
    <row r="9" spans="2:6" x14ac:dyDescent="0.25">
      <c r="B9" s="51"/>
      <c r="C9" s="52"/>
      <c r="D9" s="53"/>
    </row>
    <row r="10" spans="2:6" x14ac:dyDescent="0.25">
      <c r="B10" s="1"/>
      <c r="C10" s="2"/>
      <c r="D10" s="3"/>
    </row>
    <row r="11" spans="2:6" ht="36" customHeight="1" x14ac:dyDescent="0.25">
      <c r="B11" s="1"/>
      <c r="C11" s="6" t="s">
        <v>41</v>
      </c>
      <c r="D11" s="8" t="s">
        <v>12</v>
      </c>
    </row>
    <row r="12" spans="2:6" ht="45" x14ac:dyDescent="0.25">
      <c r="B12" s="9" t="s">
        <v>29</v>
      </c>
      <c r="C12" s="21"/>
      <c r="D12" s="16">
        <f>(C12*10)</f>
        <v>0</v>
      </c>
      <c r="F12" s="11"/>
    </row>
    <row r="13" spans="2:6" ht="45" x14ac:dyDescent="0.25">
      <c r="B13" s="9" t="s">
        <v>30</v>
      </c>
      <c r="C13" s="21"/>
      <c r="D13" s="16">
        <f>(C13*20)</f>
        <v>0</v>
      </c>
    </row>
    <row r="14" spans="2:6" ht="45" x14ac:dyDescent="0.25">
      <c r="B14" s="9" t="s">
        <v>31</v>
      </c>
      <c r="C14" s="21"/>
      <c r="D14" s="16">
        <f>(C14*50)</f>
        <v>0</v>
      </c>
    </row>
    <row r="15" spans="2:6" ht="45" x14ac:dyDescent="0.25">
      <c r="B15" s="9" t="s">
        <v>32</v>
      </c>
      <c r="C15" s="21"/>
      <c r="D15" s="16">
        <f>(C15*20)</f>
        <v>0</v>
      </c>
    </row>
    <row r="16" spans="2:6" ht="15.75" thickBot="1" x14ac:dyDescent="0.3">
      <c r="B16" s="1"/>
      <c r="C16" s="2"/>
      <c r="D16" s="3"/>
    </row>
    <row r="17" spans="2:4" ht="15.75" thickBot="1" x14ac:dyDescent="0.3">
      <c r="B17" s="46" t="s">
        <v>27</v>
      </c>
      <c r="C17" s="47"/>
      <c r="D17" s="7">
        <f>D12+D13+D14+D15</f>
        <v>0</v>
      </c>
    </row>
    <row r="18" spans="2:4" ht="24" thickBot="1" x14ac:dyDescent="0.3">
      <c r="B18" s="4"/>
      <c r="C18" s="5"/>
      <c r="D18" s="10" t="s">
        <v>17</v>
      </c>
    </row>
  </sheetData>
  <sheetProtection algorithmName="SHA-512" hashValue="DqFCG+3IByMvL3tJB3kxj+TCv/WtKNnxdkb2LYgktJQlt5lHpimeEa8KUg2qXJYUFL3o9/e64jgDLnzQVdiHvw==" saltValue="OCjtftCmpp2bBQqF/RzE/w==" spinCount="100000" sheet="1" objects="1" scenarios="1"/>
  <mergeCells count="7">
    <mergeCell ref="B17:C17"/>
    <mergeCell ref="B5:D5"/>
    <mergeCell ref="B2:D2"/>
    <mergeCell ref="B3:D3"/>
    <mergeCell ref="B4:D4"/>
    <mergeCell ref="B7:D7"/>
    <mergeCell ref="B8:D9"/>
  </mergeCells>
  <pageMargins left="0.7" right="0.7" top="0.78740157499999996" bottom="0.78740157499999996" header="0.3" footer="0.3"/>
  <pageSetup paperSize="9" scale="9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E9868-53EB-4275-898F-4D86919424F0}">
  <sheetPr>
    <pageSetUpPr fitToPage="1"/>
  </sheetPr>
  <dimension ref="B1:F23"/>
  <sheetViews>
    <sheetView showGridLines="0" tabSelected="1" workbookViewId="0">
      <selection activeCell="C15" sqref="C15"/>
    </sheetView>
  </sheetViews>
  <sheetFormatPr baseColWidth="10" defaultRowHeight="15" x14ac:dyDescent="0.25"/>
  <cols>
    <col min="2" max="2" width="36.7109375" customWidth="1"/>
    <col min="3" max="3" width="64.85546875" customWidth="1"/>
    <col min="4" max="4" width="20.85546875" customWidth="1"/>
  </cols>
  <sheetData>
    <row r="1" spans="2:6" ht="15.75" thickBot="1" x14ac:dyDescent="0.3"/>
    <row r="2" spans="2:6" ht="19.5" thickBot="1" x14ac:dyDescent="0.35">
      <c r="B2" s="25" t="s">
        <v>0</v>
      </c>
      <c r="C2" s="26"/>
      <c r="D2" s="27"/>
    </row>
    <row r="3" spans="2:6" ht="19.5" thickBot="1" x14ac:dyDescent="0.35">
      <c r="B3" s="25" t="str">
        <f>Deckblatt!B3</f>
        <v>ZA 4.2/1002001550/LS</v>
      </c>
      <c r="C3" s="26"/>
      <c r="D3" s="27"/>
    </row>
    <row r="4" spans="2:6" ht="19.5" thickBot="1" x14ac:dyDescent="0.35">
      <c r="B4" s="28" t="s">
        <v>25</v>
      </c>
      <c r="C4" s="29"/>
      <c r="D4" s="30"/>
    </row>
    <row r="5" spans="2:6" ht="19.5" thickBot="1" x14ac:dyDescent="0.35">
      <c r="B5" s="28">
        <f>Deckblatt!B9</f>
        <v>0</v>
      </c>
      <c r="C5" s="29"/>
      <c r="D5" s="30"/>
    </row>
    <row r="6" spans="2:6" x14ac:dyDescent="0.25">
      <c r="B6" s="1"/>
      <c r="C6" s="2"/>
      <c r="D6" s="3"/>
    </row>
    <row r="7" spans="2:6" x14ac:dyDescent="0.25">
      <c r="B7" s="48" t="s">
        <v>10</v>
      </c>
      <c r="C7" s="49"/>
      <c r="D7" s="50"/>
    </row>
    <row r="8" spans="2:6" ht="15" customHeight="1" x14ac:dyDescent="0.25">
      <c r="B8" s="51" t="s">
        <v>36</v>
      </c>
      <c r="C8" s="52"/>
      <c r="D8" s="53"/>
    </row>
    <row r="9" spans="2:6" x14ac:dyDescent="0.25">
      <c r="B9" s="51"/>
      <c r="C9" s="52"/>
      <c r="D9" s="53"/>
    </row>
    <row r="10" spans="2:6" x14ac:dyDescent="0.25">
      <c r="B10" s="1"/>
      <c r="C10" s="2"/>
      <c r="D10" s="3"/>
    </row>
    <row r="11" spans="2:6" ht="36" customHeight="1" x14ac:dyDescent="0.25">
      <c r="B11" s="1"/>
      <c r="C11" s="6" t="s">
        <v>41</v>
      </c>
      <c r="D11" s="8" t="s">
        <v>12</v>
      </c>
    </row>
    <row r="12" spans="2:6" ht="45" x14ac:dyDescent="0.25">
      <c r="B12" s="9" t="s">
        <v>29</v>
      </c>
      <c r="C12" s="21"/>
      <c r="D12" s="16">
        <f>(C12*10)</f>
        <v>0</v>
      </c>
      <c r="F12" s="11"/>
    </row>
    <row r="13" spans="2:6" ht="45" x14ac:dyDescent="0.25">
      <c r="B13" s="9" t="s">
        <v>30</v>
      </c>
      <c r="C13" s="21"/>
      <c r="D13" s="16">
        <f>(C13*20)</f>
        <v>0</v>
      </c>
    </row>
    <row r="14" spans="2:6" ht="45" x14ac:dyDescent="0.25">
      <c r="B14" s="9" t="s">
        <v>31</v>
      </c>
      <c r="C14" s="21"/>
      <c r="D14" s="16">
        <f>(C14*50)</f>
        <v>0</v>
      </c>
    </row>
    <row r="15" spans="2:6" ht="45" x14ac:dyDescent="0.25">
      <c r="B15" s="9" t="s">
        <v>32</v>
      </c>
      <c r="C15" s="21"/>
      <c r="D15" s="16">
        <f>(C15*20)</f>
        <v>0</v>
      </c>
    </row>
    <row r="16" spans="2:6" ht="15.75" thickBot="1" x14ac:dyDescent="0.3">
      <c r="B16" s="1"/>
      <c r="C16" s="2"/>
      <c r="D16" s="3"/>
    </row>
    <row r="17" spans="2:4" ht="15.75" thickBot="1" x14ac:dyDescent="0.3">
      <c r="B17" s="46" t="s">
        <v>26</v>
      </c>
      <c r="C17" s="47"/>
      <c r="D17" s="7">
        <f>D12+D13+D14+D15</f>
        <v>0</v>
      </c>
    </row>
    <row r="18" spans="2:4" ht="24" thickBot="1" x14ac:dyDescent="0.3">
      <c r="B18" s="4"/>
      <c r="C18" s="5"/>
      <c r="D18" s="10" t="s">
        <v>17</v>
      </c>
    </row>
    <row r="23" spans="2:4" x14ac:dyDescent="0.25">
      <c r="B23" t="s">
        <v>37</v>
      </c>
    </row>
  </sheetData>
  <sheetProtection algorithmName="SHA-512" hashValue="vlXbku8NyKnum4c6BfnqsMZcZOUUmJ7Dla5i854XXEpx+iXdOw8n9R06FUM3VjXkVMzz7r0zejZGF0k9pcP4hg==" saltValue="obSMZIwUIBuaznOBBGmsUA==" spinCount="100000" sheet="1" objects="1" scenarios="1"/>
  <mergeCells count="7">
    <mergeCell ref="B17:C17"/>
    <mergeCell ref="B5:D5"/>
    <mergeCell ref="B2:D2"/>
    <mergeCell ref="B3:D3"/>
    <mergeCell ref="B4:D4"/>
    <mergeCell ref="B7:D7"/>
    <mergeCell ref="B8:D9"/>
  </mergeCells>
  <pageMargins left="0.7" right="0.7" top="0.78740157499999996" bottom="0.78740157499999996" header="0.3" footer="0.3"/>
  <pageSetup paperSize="9" scale="9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38400B724FB241823185CC56C99588" ma:contentTypeVersion="12" ma:contentTypeDescription="Create a new document." ma:contentTypeScope="" ma:versionID="dbd12e30d856e8d613be8091829f76ff">
  <xsd:schema xmlns:xsd="http://www.w3.org/2001/XMLSchema" xmlns:xs="http://www.w3.org/2001/XMLSchema" xmlns:p="http://schemas.microsoft.com/office/2006/metadata/properties" xmlns:ns2="801b0d3b-b021-4d97-8d02-d10d55c54a5b" xmlns:ns3="aacf9fc6-3fef-421c-a2ab-cb0a3c3f1605" targetNamespace="http://schemas.microsoft.com/office/2006/metadata/properties" ma:root="true" ma:fieldsID="372fc09e0bfd3dc8a9e412bead22e787" ns2:_="" ns3:_="">
    <xsd:import namespace="801b0d3b-b021-4d97-8d02-d10d55c54a5b"/>
    <xsd:import namespace="aacf9fc6-3fef-421c-a2ab-cb0a3c3f16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1b0d3b-b021-4d97-8d02-d10d55c54a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0fd191e-72a4-4b24-ba8c-3432dc88d4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cf9fc6-3fef-421c-a2ab-cb0a3c3f16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254e617-84f6-4783-915d-334e8bfc521c}" ma:internalName="TaxCatchAll" ma:showField="CatchAllData" ma:web="aacf9fc6-3fef-421c-a2ab-cb0a3c3f16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cf9fc6-3fef-421c-a2ab-cb0a3c3f1605" xsi:nil="true"/>
    <lcf76f155ced4ddcb4097134ff3c332f xmlns="801b0d3b-b021-4d97-8d02-d10d55c54a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A9DBB9-399C-4B7D-8460-DE85456149A8}"/>
</file>

<file path=customXml/itemProps2.xml><?xml version="1.0" encoding="utf-8"?>
<ds:datastoreItem xmlns:ds="http://schemas.openxmlformats.org/officeDocument/2006/customXml" ds:itemID="{A50A2131-190C-4769-AA40-C0D3F927D1A5}"/>
</file>

<file path=customXml/itemProps3.xml><?xml version="1.0" encoding="utf-8"?>
<ds:datastoreItem xmlns:ds="http://schemas.openxmlformats.org/officeDocument/2006/customXml" ds:itemID="{67234048-BD90-419C-9364-7D5C7110E89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</vt:i4>
      </vt:variant>
    </vt:vector>
  </HeadingPairs>
  <TitlesOfParts>
    <vt:vector size="7" baseType="lpstr">
      <vt:lpstr>Deckblatt</vt:lpstr>
      <vt:lpstr>Profil A</vt:lpstr>
      <vt:lpstr>Profil B</vt:lpstr>
      <vt:lpstr>Profil C</vt:lpstr>
      <vt:lpstr>Profil D</vt:lpstr>
      <vt:lpstr>Profil E</vt:lpstr>
      <vt:lpstr>Deckblatt!Druckbereich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Gottschalk, Alexander</dc:creator>
  <cp:lastModifiedBy>Sauberschwarz, Linda</cp:lastModifiedBy>
  <cp:lastPrinted>2026-05-12T09:45:18Z</cp:lastPrinted>
  <dcterms:created xsi:type="dcterms:W3CDTF">2015-06-05T18:19:34Z</dcterms:created>
  <dcterms:modified xsi:type="dcterms:W3CDTF">2026-06-09T13:17:41Z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0x010100D038400B724FB241823185CC56C99588</vt:lpwstr>
  </property>
</Properties>
</file>